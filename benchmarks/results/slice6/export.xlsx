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e" sheetId="1" r:id="rId1"/>
    <sheet name="Builder" sheetId="2" r:id="rId2"/>
    <sheet name="Assets" sheetId="3" r:id="rId3"/>
    <sheet name="Inputs" sheetId="4" r:id="rId4"/>
    <sheet name="Run" sheetId="5" r:id="rId5"/>
  </sheets>
  <calcPr calcId="124519" fullCalcOnLoad="1"/>
</workbook>
</file>

<file path=xl/sharedStrings.xml><?xml version="1.0" encoding="utf-8"?>
<sst xmlns="http://schemas.openxmlformats.org/spreadsheetml/2006/main" count="240" uniqueCount="149">
  <si>
    <t>Reference tree (portfolio_data.csv inputs): Tree</t>
  </si>
  <si>
    <t>Run 20261029-203524-f56a77 on the laptop (NVIDIA GeForce RTX 3060 Laptop GPU), finished 2026-10-29T20:39:39; market data of 2026-10-29 2026-10-29T20:23:36; jump database 2026-10-29; 2,000,000-path bank; 12-week figures on held-out paths.</t>
  </si>
  <si>
    <t>Part</t>
  </si>
  <si>
    <t>Share of parent</t>
  </si>
  <si>
    <t>Effective weight</t>
  </si>
  <si>
    <t>Expected 12w</t>
  </si>
  <si>
    <t>Volatility 12w</t>
  </si>
  <si>
    <t>VaR 5%</t>
  </si>
  <si>
    <t>CVaR 5%</t>
  </si>
  <si>
    <t>CDaR 5%</t>
  </si>
  <si>
    <t>UPI</t>
  </si>
  <si>
    <t>Implied (annual)</t>
  </si>
  <si>
    <t>Blended (annual)</t>
  </si>
  <si>
    <t>Binding limits</t>
  </si>
  <si>
    <t>Search</t>
  </si>
  <si>
    <t>Portfolio</t>
  </si>
  <si>
    <t>Alternatives at its 25.0% maximum</t>
  </si>
  <si>
    <t>6 generations, window</t>
  </si>
  <si>
    <t xml:space="preserve">    Equities</t>
  </si>
  <si>
    <t xml:space="preserve">        Technology</t>
  </si>
  <si>
    <t xml:space="preserve">            NVDA</t>
  </si>
  <si>
    <t xml:space="preserve">            META</t>
  </si>
  <si>
    <t xml:space="preserve">            GOOGL</t>
  </si>
  <si>
    <t xml:space="preserve">            ADBE</t>
  </si>
  <si>
    <t xml:space="preserve">        Financials</t>
  </si>
  <si>
    <t xml:space="preserve">            JPM</t>
  </si>
  <si>
    <t xml:space="preserve">            NRIM</t>
  </si>
  <si>
    <t xml:space="preserve">            SPGI</t>
  </si>
  <si>
    <t xml:space="preserve">        Other equities</t>
  </si>
  <si>
    <t xml:space="preserve">            FERG</t>
  </si>
  <si>
    <t xml:space="preserve">            MNTS</t>
  </si>
  <si>
    <t xml:space="preserve">    Alternatives</t>
  </si>
  <si>
    <t>Managed futures at its 30.0% maximum</t>
  </si>
  <si>
    <t xml:space="preserve">        Crypto</t>
  </si>
  <si>
    <t>0 generations, one member: 100%, no search</t>
  </si>
  <si>
    <t xml:space="preserve">            BTC=F</t>
  </si>
  <si>
    <t xml:space="preserve">        Managed futures</t>
  </si>
  <si>
    <t>CTA at its 25.0% minimum</t>
  </si>
  <si>
    <t xml:space="preserve">            DBMF</t>
  </si>
  <si>
    <t xml:space="preserve">            CTA</t>
  </si>
  <si>
    <t xml:space="preserve">            WTMF</t>
  </si>
  <si>
    <t xml:space="preserve">    Rates &amp; index</t>
  </si>
  <si>
    <t>7 generations, window</t>
  </si>
  <si>
    <t xml:space="preserve">        TLT</t>
  </si>
  <si>
    <t xml:space="preserve">        IBHK</t>
  </si>
  <si>
    <t xml:space="preserve">        SPY</t>
  </si>
  <si>
    <t>Reference tree (portfolio_data.csv inputs): Builder</t>
  </si>
  <si>
    <t>Asset</t>
  </si>
  <si>
    <t>Trade as</t>
  </si>
  <si>
    <t>Price</t>
  </si>
  <si>
    <t>Price time</t>
  </si>
  <si>
    <t>Weight</t>
  </si>
  <si>
    <t>Target $</t>
  </si>
  <si>
    <t>Shares</t>
  </si>
  <si>
    <t>Spent $</t>
  </si>
  <si>
    <t>Portfolio size $250,000; shares rounded down to two decimals, so the total never exceeds it.</t>
  </si>
  <si>
    <t>NVDA</t>
  </si>
  <si>
    <t>2026-10-29 00:00:00</t>
  </si>
  <si>
    <t>META</t>
  </si>
  <si>
    <t>GOOGL</t>
  </si>
  <si>
    <t>ADBE</t>
  </si>
  <si>
    <t>JPM</t>
  </si>
  <si>
    <t>NRIM</t>
  </si>
  <si>
    <t>SPGI</t>
  </si>
  <si>
    <t>FERG</t>
  </si>
  <si>
    <t>MNTS</t>
  </si>
  <si>
    <t>BTC=F</t>
  </si>
  <si>
    <t>set a trade-as ticker (futures)</t>
  </si>
  <si>
    <t>DBMF</t>
  </si>
  <si>
    <t>CTA</t>
  </si>
  <si>
    <t>WTMF</t>
  </si>
  <si>
    <t>TLT</t>
  </si>
  <si>
    <t>IBHK</t>
  </si>
  <si>
    <t>SPY</t>
  </si>
  <si>
    <t>Spent</t>
  </si>
  <si>
    <t>Left over</t>
  </si>
  <si>
    <t>Reference tree (portfolio_data.csv inputs): Assets</t>
  </si>
  <si>
    <t>Posterior (annual)</t>
  </si>
  <si>
    <t>Crash beta</t>
  </si>
  <si>
    <t>Rally beta</t>
  </si>
  <si>
    <t>Co-jump</t>
  </si>
  <si>
    <t>Heston v0</t>
  </si>
  <si>
    <t>Heston theta</t>
  </si>
  <si>
    <t>kappa</t>
  </si>
  <si>
    <t>xi</t>
  </si>
  <si>
    <t>rho</t>
  </si>
  <si>
    <t>Fit</t>
  </si>
  <si>
    <t>pooled from 13 identified assets (constant variance)</t>
  </si>
  <si>
    <t>Reference tree (portfolio_data.csv inputs): Inputs</t>
  </si>
  <si>
    <t>Asset or subportfolio</t>
  </si>
  <si>
    <t>Equilibrium (annual)</t>
  </si>
  <si>
    <t>View</t>
  </si>
  <si>
    <t>Below / above</t>
  </si>
  <si>
    <t>Horizon (months)</t>
  </si>
  <si>
    <t>Idiosyncratic jumps</t>
  </si>
  <si>
    <t>35.00%</t>
  </si>
  <si>
    <t>-0.41 / +0.41 (points)</t>
  </si>
  <si>
    <t>on</t>
  </si>
  <si>
    <t>400.00%</t>
  </si>
  <si>
    <t>-0.94 / +0.94 (points)</t>
  </si>
  <si>
    <t>37.00%</t>
  </si>
  <si>
    <t>-0.51 / +0.51 (points)</t>
  </si>
  <si>
    <t>138.00%</t>
  </si>
  <si>
    <t>-0.4 / +0.4 (points)</t>
  </si>
  <si>
    <t>16.00%</t>
  </si>
  <si>
    <t>-0.44270000000000004 / +0.44270000000000004 (points)</t>
  </si>
  <si>
    <t>22.00%</t>
  </si>
  <si>
    <t>25.00%</t>
  </si>
  <si>
    <t>-0.31 / +0.31 (points)</t>
  </si>
  <si>
    <t>exempt</t>
  </si>
  <si>
    <t>10.70%</t>
  </si>
  <si>
    <t>-0.11869999999999999 / +0.11869999999999999 (points)</t>
  </si>
  <si>
    <t>9.09%</t>
  </si>
  <si>
    <t>-0.1928 / +0.1928 (points)</t>
  </si>
  <si>
    <t>Settings of each search (value, source)</t>
  </si>
  <si>
    <t>cvar_floor -0.4 (default); floor_strictness soft (default); floor_weight 5.0 (default); tail 0.05 (default); concentration 0.2 (default); window 5 (default); tol 0.0002 (default); maxgen 80 (default); pop_per_dim 30 (default)</t>
  </si>
  <si>
    <t>Equities</t>
  </si>
  <si>
    <t>cvar_floor -0.4 (default); floor_strictness soft (default); floor_weight 5.0 (default); tail 0.05 (default); concentration 0.0 (default); window 5 (default); tol 0.0002 (default); maxgen 80 (default); pop_per_dim 30 (default)</t>
  </si>
  <si>
    <t>Equities / Technology</t>
  </si>
  <si>
    <t>Equities / Financials</t>
  </si>
  <si>
    <t>Equities / Other equities</t>
  </si>
  <si>
    <t>Alternatives</t>
  </si>
  <si>
    <t>Alternatives / Crypto</t>
  </si>
  <si>
    <t>Alternatives / Managed futures</t>
  </si>
  <si>
    <t>Rates &amp; index</t>
  </si>
  <si>
    <t>Reference tree (portfolio_data.csv inputs): Run</t>
  </si>
  <si>
    <t>Field</t>
  </si>
  <si>
    <t>Value</t>
  </si>
  <si>
    <t>Run id</t>
  </si>
  <si>
    <t>20261029-203524-f56a77</t>
  </si>
  <si>
    <t>Reference tree (portfolio_data.csv inputs)</t>
  </si>
  <si>
    <t>Machine</t>
  </si>
  <si>
    <t>laptop (NVIDIA GeForce RTX 3060 Laptop GPU)</t>
  </si>
  <si>
    <t>Queued</t>
  </si>
  <si>
    <t>2026-10-29T20:35:24</t>
  </si>
  <si>
    <t>Started</t>
  </si>
  <si>
    <t>Finished</t>
  </si>
  <si>
    <t>2026-10-29T20:39:39</t>
  </si>
  <si>
    <t>Wall time, s</t>
  </si>
  <si>
    <t>Scenario bank, paths</t>
  </si>
  <si>
    <t>Searched paths</t>
  </si>
  <si>
    <t>Draw per generation</t>
  </si>
  <si>
    <t>Searches</t>
  </si>
  <si>
    <t>Seed</t>
  </si>
  <si>
    <t>Market data</t>
  </si>
  <si>
    <t>2026-10-29 2026-10-29T20:23:36</t>
  </si>
  <si>
    <t>Jump database</t>
  </si>
  <si>
    <t>2026-10-29</t>
  </si>
  <si>
    <t>Risk-free over 12 weeks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</si>
</sst>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0.000"/>
    <numFmt numFmtId="166" formatCode="#,##0.00"/>
    <numFmt numFmtId="167" formatCode="0.00"/>
    <numFmt numFmtId="168" formatCode="0.00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showGridLines="0" tabSelected="1" workbookViewId="0"/>
  </sheetViews>
  <sheetFormatPr defaultRowHeight="15"/>
  <cols>
    <col min="1" max="1" width="34.7109375" customWidth="1"/>
    <col min="2" max="5" width="11.7109375" customWidth="1"/>
    <col min="6" max="8" width="10.7109375" customWidth="1"/>
    <col min="9" max="9" width="8.7109375" customWidth="1"/>
    <col min="10" max="11" width="11.7109375" customWidth="1"/>
    <col min="12" max="12" width="40.7109375" customWidth="1"/>
    <col min="13" max="13" width="30.7109375" customWidth="1"/>
  </cols>
  <sheetData>
    <row r="1" spans="1:13">
      <c r="A1" s="1" t="s">
        <v>0</v>
      </c>
    </row>
    <row r="2" spans="1:13">
      <c r="A2" s="2" t="s">
        <v>1</v>
      </c>
    </row>
    <row r="4" spans="1:13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s="4" t="s">
        <v>15</v>
      </c>
      <c r="B5" s="5">
        <v>1</v>
      </c>
      <c r="C5" s="6">
        <v>1</v>
      </c>
      <c r="D5" s="5">
        <v>0.03260719594428794</v>
      </c>
      <c r="E5" s="5">
        <v>0.09088609367609024</v>
      </c>
      <c r="F5" s="5">
        <v>-0.1077210307121277</v>
      </c>
      <c r="G5" s="5">
        <v>-0.1406089514493942</v>
      </c>
      <c r="H5" s="5">
        <v>-0.1663665175437927</v>
      </c>
      <c r="I5" s="7">
        <v>0.1279495778996901</v>
      </c>
      <c r="L5" t="s">
        <v>16</v>
      </c>
      <c r="M5" t="s">
        <v>17</v>
      </c>
    </row>
    <row r="6" spans="1:13">
      <c r="A6" s="4" t="s">
        <v>18</v>
      </c>
      <c r="B6" s="5">
        <v>0.5256336819166344</v>
      </c>
      <c r="C6" s="6">
        <v>0.5256336819166344</v>
      </c>
      <c r="D6" s="5">
        <v>0.02689122414687176</v>
      </c>
      <c r="E6" s="5">
        <v>0.1208234056830406</v>
      </c>
      <c r="F6" s="5">
        <v>-0.1564911603927612</v>
      </c>
      <c r="G6" s="5">
        <v>-0.1973302960395813</v>
      </c>
      <c r="H6" s="5">
        <v>-0.2256529033184052</v>
      </c>
      <c r="I6" s="7">
        <v>0.06900223161313739</v>
      </c>
      <c r="M6" t="s">
        <v>17</v>
      </c>
    </row>
    <row r="7" spans="1:13">
      <c r="A7" s="4" t="s">
        <v>19</v>
      </c>
      <c r="B7" s="5">
        <v>0.4127773117667536</v>
      </c>
      <c r="C7" s="6">
        <v>0.2169696581956092</v>
      </c>
      <c r="D7" s="5">
        <v>0.02856012714526459</v>
      </c>
      <c r="E7" s="5">
        <v>0.1637416779994965</v>
      </c>
      <c r="F7" s="5">
        <v>-0.2166540622711182</v>
      </c>
      <c r="G7" s="5">
        <v>-0.2699503898620605</v>
      </c>
      <c r="H7" s="5">
        <v>-0.3035310804843903</v>
      </c>
      <c r="I7" s="7">
        <v>0.05679634807030211</v>
      </c>
      <c r="M7" t="s">
        <v>17</v>
      </c>
    </row>
    <row r="8" spans="1:13">
      <c r="A8" t="s">
        <v>20</v>
      </c>
      <c r="B8" s="5">
        <v>0.3784416984376393</v>
      </c>
      <c r="C8" s="5">
        <v>0.0821103659569804</v>
      </c>
      <c r="D8" s="5">
        <v>0.03370023158737689</v>
      </c>
      <c r="E8" s="5">
        <v>0.2603123486042023</v>
      </c>
      <c r="F8" s="5">
        <v>-0.3360217809677124</v>
      </c>
      <c r="G8" s="5">
        <v>-0.4208870232105255</v>
      </c>
      <c r="H8" s="5">
        <v>-0.4694457650184631</v>
      </c>
      <c r="I8" s="7">
        <v>0.04767230425133016</v>
      </c>
    </row>
    <row r="9" spans="1:13">
      <c r="A9" t="s">
        <v>21</v>
      </c>
      <c r="B9" s="5">
        <v>0.06600180724339341</v>
      </c>
      <c r="C9" s="5">
        <v>0.01432038955789155</v>
      </c>
      <c r="D9" s="5">
        <v>0.02395635810453145</v>
      </c>
      <c r="E9" s="5">
        <v>0.2268867939710617</v>
      </c>
      <c r="F9" s="5">
        <v>-0.3231228590011597</v>
      </c>
      <c r="G9" s="5">
        <v>-0.4047511518001556</v>
      </c>
      <c r="H9" s="5">
        <v>-0.4472717642784119</v>
      </c>
      <c r="I9" s="7">
        <v>0.02825058245516227</v>
      </c>
    </row>
    <row r="10" spans="1:13">
      <c r="A10" t="s">
        <v>22</v>
      </c>
      <c r="B10" s="5">
        <v>0.2783235622596348</v>
      </c>
      <c r="C10" s="5">
        <v>0.06038776817125732</v>
      </c>
      <c r="D10" s="5">
        <v>0.02444899565505443</v>
      </c>
      <c r="E10" s="5">
        <v>0.1779525429010391</v>
      </c>
      <c r="F10" s="5">
        <v>-0.2476140260696411</v>
      </c>
      <c r="G10" s="5">
        <v>-0.3099777400493622</v>
      </c>
      <c r="H10" s="5">
        <v>-0.3470568954944611</v>
      </c>
      <c r="I10" s="7">
        <v>0.03782758843742864</v>
      </c>
    </row>
    <row r="11" spans="1:13">
      <c r="A11" t="s">
        <v>23</v>
      </c>
      <c r="B11" s="5">
        <v>0.2772329320593326</v>
      </c>
      <c r="C11" s="5">
        <v>0.06015113450947993</v>
      </c>
      <c r="D11" s="5">
        <v>0.02676687692266544</v>
      </c>
      <c r="E11" s="5">
        <v>0.2261844277381897</v>
      </c>
      <c r="F11" s="5">
        <v>-0.2992324829101562</v>
      </c>
      <c r="G11" s="5">
        <v>-0.3673543930053711</v>
      </c>
      <c r="H11" s="5">
        <v>-0.4070548713207245</v>
      </c>
      <c r="I11" s="7">
        <v>0.03794625187663427</v>
      </c>
    </row>
    <row r="12" spans="1:13">
      <c r="A12" s="4" t="s">
        <v>24</v>
      </c>
      <c r="B12" s="5">
        <v>0.4555311925433374</v>
      </c>
      <c r="C12" s="6">
        <v>0.2394425379644297</v>
      </c>
      <c r="D12" s="5">
        <v>0.02373499454107226</v>
      </c>
      <c r="E12" s="5">
        <v>0.1161904558539391</v>
      </c>
      <c r="F12" s="5">
        <v>-0.1607934236526489</v>
      </c>
      <c r="G12" s="5">
        <v>-0.2064544856548309</v>
      </c>
      <c r="H12" s="5">
        <v>-0.2352952361106873</v>
      </c>
      <c r="I12" s="7">
        <v>0.05276062744982248</v>
      </c>
      <c r="M12" t="s">
        <v>17</v>
      </c>
    </row>
    <row r="13" spans="1:13">
      <c r="A13" t="s">
        <v>25</v>
      </c>
      <c r="B13" s="5">
        <v>0.2068276007872725</v>
      </c>
      <c r="C13" s="5">
        <v>0.04952332565359841</v>
      </c>
      <c r="D13" s="5">
        <v>0.02051455919376077</v>
      </c>
      <c r="E13" s="5">
        <v>0.1202100738883018</v>
      </c>
      <c r="F13" s="5">
        <v>-0.1867839694023132</v>
      </c>
      <c r="G13" s="5">
        <v>-0.2499876022338867</v>
      </c>
      <c r="H13" s="5">
        <v>-0.2844460904598236</v>
      </c>
      <c r="I13" s="7">
        <v>0.03232207878470062</v>
      </c>
    </row>
    <row r="14" spans="1:13">
      <c r="A14" t="s">
        <v>26</v>
      </c>
      <c r="B14" s="5">
        <v>0.3600933598637988</v>
      </c>
      <c r="C14" s="5">
        <v>0.08622166798992671</v>
      </c>
      <c r="D14" s="5">
        <v>0.02556352948126905</v>
      </c>
      <c r="E14" s="5">
        <v>0.1887950152158737</v>
      </c>
      <c r="F14" s="5">
        <v>-0.2546482086181641</v>
      </c>
      <c r="G14" s="5">
        <v>-0.3249863386154175</v>
      </c>
      <c r="H14" s="5">
        <v>-0.3694130480289459</v>
      </c>
      <c r="I14" s="7">
        <v>0.03855537672354973</v>
      </c>
    </row>
    <row r="15" spans="1:13">
      <c r="A15" t="s">
        <v>27</v>
      </c>
      <c r="B15" s="5">
        <v>0.4330790393489289</v>
      </c>
      <c r="C15" s="5">
        <v>0.1036975443209047</v>
      </c>
      <c r="D15" s="5">
        <v>0.02375261632702297</v>
      </c>
      <c r="E15" s="5">
        <v>0.153588280081749</v>
      </c>
      <c r="F15" s="5">
        <v>-0.2207778692245483</v>
      </c>
      <c r="G15" s="5">
        <v>-0.2869505882263184</v>
      </c>
      <c r="H15" s="5">
        <v>-0.3229753971099854</v>
      </c>
      <c r="I15" s="7">
        <v>0.03849192907678706</v>
      </c>
    </row>
    <row r="16" spans="1:13">
      <c r="A16" s="4" t="s">
        <v>28</v>
      </c>
      <c r="B16" s="5">
        <v>0.1316914956899091</v>
      </c>
      <c r="C16" s="6">
        <v>0.06922148575659549</v>
      </c>
      <c r="D16" s="5">
        <v>0.03257781566951437</v>
      </c>
      <c r="E16" s="5">
        <v>0.3425541818141937</v>
      </c>
      <c r="F16" s="5">
        <v>-0.3424383401870728</v>
      </c>
      <c r="G16" s="5">
        <v>-0.3979542851448059</v>
      </c>
      <c r="H16" s="5">
        <v>-0.4532606303691864</v>
      </c>
      <c r="I16" s="7">
        <v>0.0468982832333836</v>
      </c>
      <c r="M16" t="s">
        <v>17</v>
      </c>
    </row>
    <row r="17" spans="1:13">
      <c r="A17" t="s">
        <v>29</v>
      </c>
      <c r="B17" s="5">
        <v>0.6186198706200113</v>
      </c>
      <c r="C17" s="5">
        <v>0.04282178656287006</v>
      </c>
      <c r="D17" s="5">
        <v>0.02181771905983809</v>
      </c>
      <c r="E17" s="5">
        <v>0.1575420200824738</v>
      </c>
      <c r="F17" s="5">
        <v>-0.2152221202850342</v>
      </c>
      <c r="G17" s="5">
        <v>-0.2779509425163269</v>
      </c>
      <c r="H17" s="5">
        <v>-0.317380279302597</v>
      </c>
      <c r="I17" s="7">
        <v>0.03307404239162481</v>
      </c>
    </row>
    <row r="18" spans="1:13">
      <c r="A18" t="s">
        <v>30</v>
      </c>
      <c r="B18" s="5">
        <v>0.3813801293799888</v>
      </c>
      <c r="C18" s="5">
        <v>0.02639969919372544</v>
      </c>
      <c r="D18" s="5">
        <v>0.05003129334114376</v>
      </c>
      <c r="E18" s="5">
        <v>0.8300704956054688</v>
      </c>
      <c r="F18" s="5">
        <v>-0.7590723037719727</v>
      </c>
      <c r="G18" s="5">
        <v>-0.8386867046356201</v>
      </c>
      <c r="H18" s="5">
        <v>-0.8688122034072876</v>
      </c>
      <c r="I18" s="7">
        <v>0.04455580036906832</v>
      </c>
    </row>
    <row r="19" spans="1:13">
      <c r="A19" s="4" t="s">
        <v>31</v>
      </c>
      <c r="B19" s="5">
        <v>0.25</v>
      </c>
      <c r="C19" s="6">
        <v>0.25</v>
      </c>
      <c r="D19" s="5">
        <v>0.05947118580554567</v>
      </c>
      <c r="E19" s="5">
        <v>0.1910566091537476</v>
      </c>
      <c r="F19" s="5">
        <v>-0.219744861125946</v>
      </c>
      <c r="G19" s="5">
        <v>-0.2865377366542816</v>
      </c>
      <c r="H19" s="5">
        <v>-0.3327726125717163</v>
      </c>
      <c r="I19" s="7">
        <v>0.1446949470556277</v>
      </c>
      <c r="L19" t="s">
        <v>32</v>
      </c>
      <c r="M19" t="s">
        <v>17</v>
      </c>
    </row>
    <row r="20" spans="1:13">
      <c r="A20" s="4" t="s">
        <v>33</v>
      </c>
      <c r="B20" s="5">
        <v>0.7000000000000004</v>
      </c>
      <c r="C20" s="6">
        <v>0.1750000000000001</v>
      </c>
      <c r="D20" s="5">
        <v>0.07847540840127287</v>
      </c>
      <c r="E20" s="5">
        <v>0.2703530192375183</v>
      </c>
      <c r="F20" s="5">
        <v>-0.3154361844062805</v>
      </c>
      <c r="G20" s="5">
        <v>-0.4101224541664124</v>
      </c>
      <c r="H20" s="5">
        <v>-0.4653388559818268</v>
      </c>
      <c r="I20" s="7">
        <v>0.1443136271344967</v>
      </c>
      <c r="M20" t="s">
        <v>34</v>
      </c>
    </row>
    <row r="21" spans="1:13">
      <c r="A21" t="s">
        <v>35</v>
      </c>
      <c r="B21" s="5">
        <v>1</v>
      </c>
      <c r="C21" s="5">
        <v>0.1750000000000001</v>
      </c>
      <c r="D21" s="5">
        <v>0.07847540840127287</v>
      </c>
      <c r="E21" s="5">
        <v>0.2703530192375183</v>
      </c>
      <c r="F21" s="5">
        <v>-0.3154361844062805</v>
      </c>
      <c r="G21" s="5">
        <v>-0.4101224541664124</v>
      </c>
      <c r="H21" s="5">
        <v>-0.4653388559818268</v>
      </c>
      <c r="I21" s="7">
        <v>0.1443136271344967</v>
      </c>
    </row>
    <row r="22" spans="1:13">
      <c r="A22" s="4" t="s">
        <v>36</v>
      </c>
      <c r="B22" s="5">
        <v>0.2999999999999998</v>
      </c>
      <c r="C22" s="6">
        <v>0.07499999999999994</v>
      </c>
      <c r="D22" s="5">
        <v>0.01512799974884877</v>
      </c>
      <c r="E22" s="5">
        <v>0.03678921982645988</v>
      </c>
      <c r="F22" s="5">
        <v>-0.04429566860198975</v>
      </c>
      <c r="G22" s="5">
        <v>-0.05887439101934433</v>
      </c>
      <c r="H22" s="5">
        <v>-0.07106870412826538</v>
      </c>
      <c r="I22" s="7">
        <v>0.05357251898189946</v>
      </c>
      <c r="L22" t="s">
        <v>37</v>
      </c>
      <c r="M22" t="s">
        <v>17</v>
      </c>
    </row>
    <row r="23" spans="1:13">
      <c r="A23" t="s">
        <v>38</v>
      </c>
      <c r="B23" s="5">
        <v>0.2246539200362379</v>
      </c>
      <c r="C23" s="5">
        <v>0.01684904400271783</v>
      </c>
      <c r="D23" s="5">
        <v>0.0156329221961411</v>
      </c>
      <c r="E23" s="5">
        <v>0.05280788242816925</v>
      </c>
      <c r="F23" s="5">
        <v>-0.0690428614616394</v>
      </c>
      <c r="G23" s="5">
        <v>-0.09112462401390076</v>
      </c>
      <c r="H23" s="5">
        <v>-0.10751061886549</v>
      </c>
      <c r="I23" s="7">
        <v>0.04011000953885329</v>
      </c>
    </row>
    <row r="24" spans="1:13">
      <c r="A24" t="s">
        <v>39</v>
      </c>
      <c r="B24" s="5">
        <v>0.25</v>
      </c>
      <c r="C24" s="5">
        <v>0.01874999999999999</v>
      </c>
      <c r="D24" s="5">
        <v>0.01717314990528762</v>
      </c>
      <c r="E24" s="5">
        <v>0.08403356373310089</v>
      </c>
      <c r="F24" s="5">
        <v>-0.1151730418205261</v>
      </c>
      <c r="G24" s="5">
        <v>-0.1484401375055313</v>
      </c>
      <c r="H24" s="5">
        <v>-0.1720268875360489</v>
      </c>
      <c r="I24" s="7">
        <v>0.03402072630153782</v>
      </c>
    </row>
    <row r="25" spans="1:13">
      <c r="A25" t="s">
        <v>40</v>
      </c>
      <c r="B25" s="5">
        <v>0.5253460799637623</v>
      </c>
      <c r="C25" s="5">
        <v>0.03940095599728214</v>
      </c>
      <c r="D25" s="5">
        <v>0.01393884012620283</v>
      </c>
      <c r="E25" s="5">
        <v>0.03557068109512329</v>
      </c>
      <c r="F25" s="5">
        <v>-0.04337579011917114</v>
      </c>
      <c r="G25" s="5">
        <v>-0.05736926198005676</v>
      </c>
      <c r="H25" s="5">
        <v>-0.06845256686210632</v>
      </c>
      <c r="I25" s="7">
        <v>0.03824794304001352</v>
      </c>
    </row>
    <row r="26" spans="1:13">
      <c r="A26" s="4" t="s">
        <v>41</v>
      </c>
      <c r="B26" s="5">
        <v>0.2243663180833658</v>
      </c>
      <c r="C26" s="6">
        <v>0.2243663180833658</v>
      </c>
      <c r="D26" s="5">
        <v>0.01606509552827151</v>
      </c>
      <c r="E26" s="5">
        <v>0.02696734480559826</v>
      </c>
      <c r="F26" s="5">
        <v>-0.03065097332000732</v>
      </c>
      <c r="G26" s="5">
        <v>-0.04552736133337021</v>
      </c>
      <c r="H26" s="5">
        <v>-0.0579112321138382</v>
      </c>
      <c r="I26" s="7">
        <v>0.08192582176505851</v>
      </c>
      <c r="M26" t="s">
        <v>42</v>
      </c>
    </row>
    <row r="27" spans="1:13">
      <c r="A27" t="s">
        <v>43</v>
      </c>
      <c r="B27" s="5">
        <v>0</v>
      </c>
      <c r="C27" s="5">
        <v>0</v>
      </c>
      <c r="D27" s="5">
        <v>0.01146155116065728</v>
      </c>
      <c r="E27" s="5">
        <v>0.05803505331277847</v>
      </c>
      <c r="F27" s="5">
        <v>-0.08085411787033081</v>
      </c>
      <c r="G27" s="5">
        <v>-0.102953128516674</v>
      </c>
      <c r="H27" s="5">
        <v>-0.1180450469255447</v>
      </c>
      <c r="I27" s="7">
        <v>0.001193450436153107</v>
      </c>
    </row>
    <row r="28" spans="1:13">
      <c r="A28" t="s">
        <v>44</v>
      </c>
      <c r="B28" s="5">
        <v>1</v>
      </c>
      <c r="C28" s="5">
        <v>0.2243663180833658</v>
      </c>
      <c r="D28" s="5">
        <v>0.01606509552827151</v>
      </c>
      <c r="E28" s="5">
        <v>0.02696734480559826</v>
      </c>
      <c r="F28" s="5">
        <v>-0.03065097332000732</v>
      </c>
      <c r="G28" s="5">
        <v>-0.04552736133337021</v>
      </c>
      <c r="H28" s="5">
        <v>-0.0579112321138382</v>
      </c>
      <c r="I28" s="7">
        <v>0.08192582176505846</v>
      </c>
    </row>
    <row r="29" spans="1:13">
      <c r="A29" t="s">
        <v>45</v>
      </c>
      <c r="B29" s="5">
        <v>1.12558183797695E-16</v>
      </c>
      <c r="C29" s="5">
        <v>2.525426526883957E-17</v>
      </c>
      <c r="D29" s="5">
        <v>0.0208182544713249</v>
      </c>
      <c r="E29" s="5">
        <v>0.073089599609375</v>
      </c>
      <c r="F29" s="5">
        <v>-0.1069411635398865</v>
      </c>
      <c r="G29" s="5">
        <v>-0.1543620377779007</v>
      </c>
      <c r="H29" s="5">
        <v>-0.1832037419080734</v>
      </c>
      <c r="I29" s="7">
        <v>0.05184164976374912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showGridLines="0" workbookViewId="0"/>
  </sheetViews>
  <sheetFormatPr defaultRowHeight="15"/>
  <cols>
    <col min="1" max="2" width="10.7109375" customWidth="1"/>
    <col min="3" max="3" width="12.7109375" customWidth="1"/>
    <col min="4" max="4" width="22.7109375" customWidth="1"/>
    <col min="5" max="5" width="10.7109375" customWidth="1"/>
    <col min="6" max="6" width="14.7109375" customWidth="1"/>
    <col min="7" max="7" width="12.7109375" customWidth="1"/>
    <col min="8" max="8" width="14.7109375" customWidth="1"/>
  </cols>
  <sheetData>
    <row r="1" spans="1:8">
      <c r="A1" s="1" t="s">
        <v>46</v>
      </c>
    </row>
    <row r="2" spans="1:8">
      <c r="A2" s="2" t="s">
        <v>1</v>
      </c>
    </row>
    <row r="3" spans="1:8">
      <c r="A3" s="2" t="s">
        <v>55</v>
      </c>
    </row>
    <row r="4" spans="1:8" ht="30" customHeight="1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</row>
    <row r="5" spans="1:8">
      <c r="A5" t="s">
        <v>56</v>
      </c>
      <c r="C5" s="8">
        <v>213.5399932861328</v>
      </c>
      <c r="D5" t="s">
        <v>57</v>
      </c>
      <c r="E5" s="5">
        <v>0.0821103659569804</v>
      </c>
      <c r="F5" s="8">
        <v>20527.5914892451</v>
      </c>
      <c r="G5" s="9">
        <v>96.12</v>
      </c>
      <c r="H5" s="8">
        <v>20525.46415466309</v>
      </c>
    </row>
    <row r="6" spans="1:8">
      <c r="A6" t="s">
        <v>58</v>
      </c>
      <c r="C6" s="8">
        <v>629.5620727539062</v>
      </c>
      <c r="D6" t="s">
        <v>57</v>
      </c>
      <c r="E6" s="5">
        <v>0.01432038955789155</v>
      </c>
      <c r="F6" s="8">
        <v>3580.097389472888</v>
      </c>
      <c r="G6" s="9">
        <v>5.68</v>
      </c>
      <c r="H6" s="8">
        <v>3575.912573242187</v>
      </c>
    </row>
    <row r="7" spans="1:8">
      <c r="A7" t="s">
        <v>59</v>
      </c>
      <c r="C7" s="8">
        <v>283.4150085449219</v>
      </c>
      <c r="D7" t="s">
        <v>57</v>
      </c>
      <c r="E7" s="5">
        <v>0.06038776817125732</v>
      </c>
      <c r="F7" s="8">
        <v>15096.94204281433</v>
      </c>
      <c r="G7" s="9">
        <v>53.26</v>
      </c>
      <c r="H7" s="8">
        <v>15094.68335510254</v>
      </c>
    </row>
    <row r="8" spans="1:8">
      <c r="A8" t="s">
        <v>60</v>
      </c>
      <c r="C8" s="8">
        <v>247.1199951171875</v>
      </c>
      <c r="D8" t="s">
        <v>57</v>
      </c>
      <c r="E8" s="5">
        <v>0.06015113450947993</v>
      </c>
      <c r="F8" s="8">
        <v>15037.78362736998</v>
      </c>
      <c r="G8" s="9">
        <v>60.85</v>
      </c>
      <c r="H8" s="8">
        <v>15037.25170288086</v>
      </c>
    </row>
    <row r="9" spans="1:8">
      <c r="A9" t="s">
        <v>61</v>
      </c>
      <c r="C9" s="8">
        <v>343.7699890136719</v>
      </c>
      <c r="D9" t="s">
        <v>57</v>
      </c>
      <c r="E9" s="5">
        <v>0.04952332565359841</v>
      </c>
      <c r="F9" s="8">
        <v>12380.8314133996</v>
      </c>
      <c r="G9" s="9">
        <v>36.01</v>
      </c>
      <c r="H9" s="8">
        <v>12379.15730438232</v>
      </c>
    </row>
    <row r="10" spans="1:8">
      <c r="A10" t="s">
        <v>62</v>
      </c>
      <c r="C10" s="8">
        <v>24.29999923706055</v>
      </c>
      <c r="D10" t="s">
        <v>57</v>
      </c>
      <c r="E10" s="5">
        <v>0.08622166798992671</v>
      </c>
      <c r="F10" s="8">
        <v>21555.41699748168</v>
      </c>
      <c r="G10" s="9">
        <v>887.05</v>
      </c>
      <c r="H10" s="8">
        <v>21555.31432323456</v>
      </c>
    </row>
    <row r="11" spans="1:8">
      <c r="A11" t="s">
        <v>63</v>
      </c>
      <c r="C11" s="8">
        <v>458.5799865722656</v>
      </c>
      <c r="D11" t="s">
        <v>57</v>
      </c>
      <c r="E11" s="5">
        <v>0.1036975443209047</v>
      </c>
      <c r="F11" s="8">
        <v>25924.38608022617</v>
      </c>
      <c r="G11" s="9">
        <v>56.53</v>
      </c>
      <c r="H11" s="8">
        <v>25923.52664093018</v>
      </c>
    </row>
    <row r="12" spans="1:8">
      <c r="A12" t="s">
        <v>64</v>
      </c>
      <c r="C12" s="8">
        <v>237.875</v>
      </c>
      <c r="D12" t="s">
        <v>57</v>
      </c>
      <c r="E12" s="5">
        <v>0.04282178656287006</v>
      </c>
      <c r="F12" s="8">
        <v>10705.44664071752</v>
      </c>
      <c r="G12" s="9">
        <v>45</v>
      </c>
      <c r="H12" s="8">
        <v>10704.375</v>
      </c>
    </row>
    <row r="13" spans="1:8">
      <c r="A13" t="s">
        <v>65</v>
      </c>
      <c r="C13" s="8">
        <v>2.200099945068359</v>
      </c>
      <c r="D13" t="s">
        <v>57</v>
      </c>
      <c r="E13" s="5">
        <v>0.02639969919372544</v>
      </c>
      <c r="F13" s="8">
        <v>6599.92479843136</v>
      </c>
      <c r="G13" s="9">
        <v>2999.82</v>
      </c>
      <c r="H13" s="8">
        <v>6599.903817214966</v>
      </c>
    </row>
    <row r="14" spans="1:8">
      <c r="A14" t="s">
        <v>66</v>
      </c>
      <c r="B14" t="s">
        <v>67</v>
      </c>
      <c r="C14" s="8">
        <v>81325</v>
      </c>
      <c r="D14" t="s">
        <v>57</v>
      </c>
      <c r="E14" s="5">
        <v>0.1750000000000001</v>
      </c>
      <c r="F14" s="8">
        <v>43750.00000000002</v>
      </c>
      <c r="G14" s="9">
        <v>0.53</v>
      </c>
      <c r="H14" s="8">
        <v>43102.25</v>
      </c>
    </row>
    <row r="15" spans="1:8">
      <c r="A15" t="s">
        <v>68</v>
      </c>
      <c r="C15" s="8">
        <v>32.68500137329102</v>
      </c>
      <c r="D15" t="s">
        <v>57</v>
      </c>
      <c r="E15" s="5">
        <v>0.01684904400271783</v>
      </c>
      <c r="F15" s="8">
        <v>4212.261000679458</v>
      </c>
      <c r="G15" s="9">
        <v>128.87</v>
      </c>
      <c r="H15" s="8">
        <v>4212.116126976013</v>
      </c>
    </row>
    <row r="16" spans="1:8">
      <c r="A16" t="s">
        <v>69</v>
      </c>
      <c r="C16" s="8">
        <v>29.85000038146973</v>
      </c>
      <c r="D16" t="s">
        <v>57</v>
      </c>
      <c r="E16" s="5">
        <v>0.01874999999999999</v>
      </c>
      <c r="F16" s="8">
        <v>4687.499999999996</v>
      </c>
      <c r="G16" s="9">
        <v>157.03</v>
      </c>
      <c r="H16" s="8">
        <v>4687.345559902191</v>
      </c>
    </row>
    <row r="17" spans="1:8">
      <c r="A17" t="s">
        <v>70</v>
      </c>
      <c r="C17" s="8">
        <v>39.83000183105469</v>
      </c>
      <c r="D17" t="s">
        <v>57</v>
      </c>
      <c r="E17" s="5">
        <v>0.03940095599728214</v>
      </c>
      <c r="F17" s="8">
        <v>9850.238999320534</v>
      </c>
      <c r="G17" s="9">
        <v>247.3</v>
      </c>
      <c r="H17" s="8">
        <v>9849.959452819825</v>
      </c>
    </row>
    <row r="18" spans="1:8">
      <c r="A18" t="s">
        <v>71</v>
      </c>
      <c r="C18" s="8">
        <v>81.29499816894531</v>
      </c>
      <c r="D18" t="s">
        <v>57</v>
      </c>
      <c r="E18" s="5">
        <v>0</v>
      </c>
      <c r="F18" s="8">
        <v>0</v>
      </c>
      <c r="G18" s="9">
        <v>0</v>
      </c>
      <c r="H18" s="8">
        <v>0</v>
      </c>
    </row>
    <row r="19" spans="1:8">
      <c r="A19" t="s">
        <v>72</v>
      </c>
      <c r="C19" s="8">
        <v>24.57999992370605</v>
      </c>
      <c r="D19" t="s">
        <v>57</v>
      </c>
      <c r="E19" s="5">
        <v>0.2243663180833658</v>
      </c>
      <c r="F19" s="8">
        <v>56091.57952084144</v>
      </c>
      <c r="G19" s="9">
        <v>2282</v>
      </c>
      <c r="H19" s="8">
        <v>56091.55982589722</v>
      </c>
    </row>
    <row r="20" spans="1:8">
      <c r="A20" t="s">
        <v>73</v>
      </c>
      <c r="C20" s="8">
        <v>768.405029296875</v>
      </c>
      <c r="D20" t="s">
        <v>57</v>
      </c>
      <c r="E20" s="5">
        <v>2.525426526883957E-17</v>
      </c>
      <c r="F20" s="8">
        <v>6.313566317209893E-12</v>
      </c>
      <c r="G20" s="9">
        <v>0</v>
      </c>
      <c r="H20" s="8">
        <v>0</v>
      </c>
    </row>
    <row r="21" spans="1:8">
      <c r="G21" s="4" t="s">
        <v>74</v>
      </c>
      <c r="H21" s="8">
        <f>SUM(H5:H20)</f>
        <v>0</v>
      </c>
    </row>
    <row r="22" spans="1:8">
      <c r="G22" s="4" t="s">
        <v>75</v>
      </c>
      <c r="H22" s="8">
        <f>250000.0-H21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showGridLines="0" workbookViewId="0"/>
  </sheetViews>
  <sheetFormatPr defaultRowHeight="15"/>
  <cols>
    <col min="1" max="1" width="10.7109375" customWidth="1"/>
    <col min="2" max="5" width="11.7109375" customWidth="1"/>
    <col min="6" max="7" width="10.7109375" customWidth="1"/>
    <col min="8" max="10" width="9.7109375" customWidth="1"/>
    <col min="11" max="12" width="10.7109375" customWidth="1"/>
    <col min="13" max="15" width="8.7109375" customWidth="1"/>
    <col min="16" max="16" width="40.7109375" customWidth="1"/>
  </cols>
  <sheetData>
    <row r="1" spans="1:16">
      <c r="A1" s="1" t="s">
        <v>76</v>
      </c>
    </row>
    <row r="2" spans="1:16">
      <c r="A2" s="2" t="s">
        <v>1</v>
      </c>
    </row>
    <row r="4" spans="1:16" ht="30" customHeight="1">
      <c r="A4" s="3" t="s">
        <v>47</v>
      </c>
      <c r="B4" s="3" t="s">
        <v>4</v>
      </c>
      <c r="C4" s="3" t="s">
        <v>77</v>
      </c>
      <c r="D4" s="3" t="s">
        <v>5</v>
      </c>
      <c r="E4" s="3" t="s">
        <v>6</v>
      </c>
      <c r="F4" s="3" t="s">
        <v>8</v>
      </c>
      <c r="G4" s="3" t="s">
        <v>9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  <c r="P4" s="3" t="s">
        <v>86</v>
      </c>
    </row>
    <row r="5" spans="1:16">
      <c r="A5" t="s">
        <v>56</v>
      </c>
      <c r="B5" s="5">
        <v>0.0821103659569804</v>
      </c>
      <c r="C5" s="5">
        <v>0.1544540690340298</v>
      </c>
      <c r="D5" s="5">
        <v>0.03370023158737689</v>
      </c>
      <c r="E5" s="5">
        <v>0.2603123486042023</v>
      </c>
      <c r="F5" s="5">
        <v>-0.4208870232105255</v>
      </c>
      <c r="G5" s="5">
        <v>-0.4694457650184631</v>
      </c>
      <c r="H5" s="7">
        <v>1.715105152861535</v>
      </c>
      <c r="I5" s="7">
        <v>1.673893664667271</v>
      </c>
      <c r="J5" s="7">
        <v>0.3636093042892263</v>
      </c>
      <c r="K5" s="10">
        <v>0.004266941191474001</v>
      </c>
      <c r="L5" s="10">
        <v>0.004266941191474001</v>
      </c>
      <c r="M5" s="10">
        <v>0.1487844186506875</v>
      </c>
      <c r="N5" s="10">
        <v>0.01877989437603364</v>
      </c>
      <c r="O5" s="10">
        <v>0</v>
      </c>
      <c r="P5" t="s">
        <v>87</v>
      </c>
    </row>
    <row r="6" spans="1:16">
      <c r="A6" t="s">
        <v>58</v>
      </c>
      <c r="B6" s="5">
        <v>0.01432038955789155</v>
      </c>
      <c r="C6" s="5">
        <v>0.1080336178733519</v>
      </c>
      <c r="D6" s="5">
        <v>0.02395635810453145</v>
      </c>
      <c r="E6" s="5">
        <v>0.2268867939710617</v>
      </c>
      <c r="F6" s="5">
        <v>-0.4047511518001556</v>
      </c>
      <c r="G6" s="5">
        <v>-0.4472717642784119</v>
      </c>
      <c r="H6" s="7">
        <v>1.337385106882155</v>
      </c>
      <c r="I6" s="7">
        <v>1.19941235935186</v>
      </c>
      <c r="J6" s="7">
        <v>0.2822036664996122</v>
      </c>
      <c r="K6" s="10">
        <v>0.003506252840725825</v>
      </c>
      <c r="L6" s="10">
        <v>0.003367142204060257</v>
      </c>
      <c r="M6" s="10">
        <v>0.03075303660610352</v>
      </c>
      <c r="N6" s="10">
        <v>0.00537315516857566</v>
      </c>
      <c r="O6" s="10">
        <v>-0.6592206310911736</v>
      </c>
    </row>
    <row r="7" spans="1:16">
      <c r="A7" t="s">
        <v>59</v>
      </c>
      <c r="B7" s="5">
        <v>0.06038776817125732</v>
      </c>
      <c r="C7" s="5">
        <v>0.1103455193955902</v>
      </c>
      <c r="D7" s="5">
        <v>0.02444899565505443</v>
      </c>
      <c r="E7" s="5">
        <v>0.1779525429010391</v>
      </c>
      <c r="F7" s="5">
        <v>-0.3099777400493622</v>
      </c>
      <c r="G7" s="5">
        <v>-0.3470568954944611</v>
      </c>
      <c r="H7" s="7">
        <v>1.103715267138903</v>
      </c>
      <c r="I7" s="7">
        <v>0.9172857034484881</v>
      </c>
      <c r="J7" s="7">
        <v>0.2501207270066441</v>
      </c>
      <c r="K7" s="10">
        <v>0.002887131564012074</v>
      </c>
      <c r="L7" s="10">
        <v>0.001990784482531015</v>
      </c>
      <c r="M7" s="10">
        <v>1.066154519334602</v>
      </c>
      <c r="N7" s="10">
        <v>0.01307389880590288</v>
      </c>
      <c r="O7" s="10">
        <v>-0.7281107237152193</v>
      </c>
    </row>
    <row r="8" spans="1:16">
      <c r="A8" t="s">
        <v>60</v>
      </c>
      <c r="B8" s="5">
        <v>0.06015113450947993</v>
      </c>
      <c r="C8" s="5">
        <v>0.12127296310966</v>
      </c>
      <c r="D8" s="5">
        <v>0.02676687692266544</v>
      </c>
      <c r="E8" s="5">
        <v>0.2261844277381897</v>
      </c>
      <c r="F8" s="5">
        <v>-0.3673543930053711</v>
      </c>
      <c r="G8" s="5">
        <v>-0.4070548713207245</v>
      </c>
      <c r="H8" s="7">
        <v>1.220172064900335</v>
      </c>
      <c r="I8" s="7">
        <v>1.421049185857309</v>
      </c>
      <c r="J8" s="7">
        <v>0.2257535724968947</v>
      </c>
      <c r="K8" s="10">
        <v>0.003995128263896864</v>
      </c>
      <c r="L8" s="10">
        <v>0.003189048901726766</v>
      </c>
      <c r="M8" s="10">
        <v>0.9555666642835793</v>
      </c>
      <c r="N8" s="10">
        <v>0.03106710087073402</v>
      </c>
      <c r="O8" s="10">
        <v>0</v>
      </c>
    </row>
    <row r="9" spans="1:16">
      <c r="A9" t="s">
        <v>61</v>
      </c>
      <c r="B9" s="5">
        <v>0.04952332565359841</v>
      </c>
      <c r="C9" s="5">
        <v>0.09198470359908174</v>
      </c>
      <c r="D9" s="5">
        <v>0.02051455919376077</v>
      </c>
      <c r="E9" s="5">
        <v>0.1202100738883018</v>
      </c>
      <c r="F9" s="5">
        <v>-0.2499876022338867</v>
      </c>
      <c r="G9" s="5">
        <v>-0.2844460904598236</v>
      </c>
      <c r="H9" s="7">
        <v>1.16622885168276</v>
      </c>
      <c r="I9" s="7">
        <v>1.007716314159975</v>
      </c>
      <c r="J9" s="7">
        <v>0.8233973901003812</v>
      </c>
      <c r="K9" s="10">
        <v>0.0009641873412848754</v>
      </c>
      <c r="L9" s="10">
        <v>0.00120020835274469</v>
      </c>
      <c r="M9" s="10">
        <v>0.1778872699341019</v>
      </c>
      <c r="N9" s="10">
        <v>0.009960087164560733</v>
      </c>
      <c r="O9" s="10">
        <v>-0.7429328305359666</v>
      </c>
    </row>
    <row r="10" spans="1:16">
      <c r="A10" t="s">
        <v>62</v>
      </c>
      <c r="B10" s="5">
        <v>0.08622166798992671</v>
      </c>
      <c r="C10" s="5">
        <v>0.1155896147591453</v>
      </c>
      <c r="D10" s="5">
        <v>0.02556352948126905</v>
      </c>
      <c r="E10" s="5">
        <v>0.1887950152158737</v>
      </c>
      <c r="F10" s="5">
        <v>-0.3249863386154175</v>
      </c>
      <c r="G10" s="5">
        <v>-0.3694130480289459</v>
      </c>
      <c r="H10" s="7">
        <v>0.5030555315590703</v>
      </c>
      <c r="I10" s="7">
        <v>0.3703900745761428</v>
      </c>
      <c r="J10" s="7">
        <v>0.5316496260177926</v>
      </c>
      <c r="K10" s="10">
        <v>0.00234972621489102</v>
      </c>
      <c r="L10" s="10">
        <v>0.00234972621489102</v>
      </c>
      <c r="M10" s="10">
        <v>0.1487844186506875</v>
      </c>
      <c r="N10" s="10">
        <v>0.01393617039565992</v>
      </c>
      <c r="O10" s="10">
        <v>0</v>
      </c>
      <c r="P10" t="s">
        <v>87</v>
      </c>
    </row>
    <row r="11" spans="1:16">
      <c r="A11" t="s">
        <v>63</v>
      </c>
      <c r="B11" s="5">
        <v>0.1036975443209047</v>
      </c>
      <c r="C11" s="5">
        <v>0.1070785600775752</v>
      </c>
      <c r="D11" s="5">
        <v>0.02375261632702297</v>
      </c>
      <c r="E11" s="5">
        <v>0.153588280081749</v>
      </c>
      <c r="F11" s="5">
        <v>-0.2869505882263184</v>
      </c>
      <c r="G11" s="5">
        <v>-0.3229753971099854</v>
      </c>
      <c r="H11" s="7">
        <v>0.9810197971509049</v>
      </c>
      <c r="I11" s="7">
        <v>0.8071150024154188</v>
      </c>
      <c r="J11" s="7">
        <v>0.5663172005609091</v>
      </c>
      <c r="K11" s="10">
        <v>0.001570108807611975</v>
      </c>
      <c r="L11" s="10">
        <v>0.001379570661661714</v>
      </c>
      <c r="M11" s="10">
        <v>0.0425818167642078</v>
      </c>
      <c r="N11" s="10">
        <v>0.00362961280935531</v>
      </c>
      <c r="O11" s="10">
        <v>-0.6358538352719875</v>
      </c>
    </row>
    <row r="12" spans="1:16">
      <c r="A12" t="s">
        <v>64</v>
      </c>
      <c r="B12" s="5">
        <v>0.04282178656287006</v>
      </c>
      <c r="C12" s="5">
        <v>0.0980400832230567</v>
      </c>
      <c r="D12" s="5">
        <v>0.02181771905983809</v>
      </c>
      <c r="E12" s="5">
        <v>0.1575420200824738</v>
      </c>
      <c r="F12" s="5">
        <v>-0.2779509425163269</v>
      </c>
      <c r="G12" s="5">
        <v>-0.317380279302597</v>
      </c>
      <c r="H12" s="7">
        <v>0.4187609558436197</v>
      </c>
      <c r="I12" s="7">
        <v>0.3118495736947516</v>
      </c>
      <c r="J12" s="7">
        <v>0.1865820393754745</v>
      </c>
      <c r="K12" s="10">
        <v>0.00167656948275534</v>
      </c>
      <c r="L12" s="10">
        <v>0.00167656948275534</v>
      </c>
      <c r="M12" s="10">
        <v>0.1487844186506875</v>
      </c>
      <c r="N12" s="10">
        <v>0.01177187373114664</v>
      </c>
      <c r="O12" s="10">
        <v>0</v>
      </c>
      <c r="P12" t="s">
        <v>87</v>
      </c>
    </row>
    <row r="13" spans="1:16">
      <c r="A13" t="s">
        <v>65</v>
      </c>
      <c r="B13" s="5">
        <v>0.02639969919372544</v>
      </c>
      <c r="C13" s="5">
        <v>0.235595685131251</v>
      </c>
      <c r="D13" s="5">
        <v>0.05003129334114376</v>
      </c>
      <c r="E13" s="5">
        <v>0.8300704956054688</v>
      </c>
      <c r="F13" s="5">
        <v>-0.8386867046356201</v>
      </c>
      <c r="G13" s="5">
        <v>-0.8688122034072876</v>
      </c>
      <c r="H13" s="7">
        <v>0.9078060010619716</v>
      </c>
      <c r="I13" s="7">
        <v>1.17036957843493</v>
      </c>
      <c r="J13" s="7">
        <v>1.594733631727257</v>
      </c>
      <c r="K13" s="10">
        <v>0.03176082331136898</v>
      </c>
      <c r="L13" s="10">
        <v>0.03990823231040931</v>
      </c>
      <c r="M13" s="10">
        <v>0.06352185376467483</v>
      </c>
      <c r="N13" s="10">
        <v>0.03623003111984046</v>
      </c>
      <c r="O13" s="10">
        <v>-0.1854904000434789</v>
      </c>
    </row>
    <row r="14" spans="1:16">
      <c r="A14" t="s">
        <v>66</v>
      </c>
      <c r="B14" s="5">
        <v>0.1750000000000001</v>
      </c>
      <c r="C14" s="5">
        <v>0.3873234768464122</v>
      </c>
      <c r="D14" s="5">
        <v>0.07847540840127287</v>
      </c>
      <c r="E14" s="5">
        <v>0.2703530192375183</v>
      </c>
      <c r="F14" s="5">
        <v>-0.4101224541664124</v>
      </c>
      <c r="G14" s="5">
        <v>-0.4653388559818268</v>
      </c>
      <c r="H14" s="7">
        <v>0.8184278658038424</v>
      </c>
      <c r="I14" s="7">
        <v>0.9398065688536914</v>
      </c>
      <c r="J14" s="7">
        <v>1.594733631727257</v>
      </c>
      <c r="K14" s="10">
        <v>0.004173648431428326</v>
      </c>
      <c r="L14" s="10">
        <v>0.004512692449773033</v>
      </c>
      <c r="M14" s="10">
        <v>0.01390821394790795</v>
      </c>
      <c r="N14" s="10">
        <v>0.002487878516986465</v>
      </c>
      <c r="O14" s="10">
        <v>-0.6270770311279691</v>
      </c>
    </row>
    <row r="15" spans="1:16">
      <c r="A15" t="s">
        <v>68</v>
      </c>
      <c r="B15" s="5">
        <v>0.01684904400271783</v>
      </c>
      <c r="C15" s="5">
        <v>0.0695292619423008</v>
      </c>
      <c r="D15" s="5">
        <v>0.0156329221961411</v>
      </c>
      <c r="E15" s="5">
        <v>0.05280788242816925</v>
      </c>
      <c r="F15" s="5">
        <v>-0.09112462401390076</v>
      </c>
      <c r="G15" s="5">
        <v>-0.10751061886549</v>
      </c>
      <c r="H15" s="7">
        <v>0.3403701487709712</v>
      </c>
      <c r="I15" s="7">
        <v>0.1159753924702601</v>
      </c>
      <c r="J15" s="7">
        <v>1.594733631727257</v>
      </c>
      <c r="K15" s="10">
        <v>0.000183244863664899</v>
      </c>
      <c r="L15" s="10">
        <v>0.0002385756800031769</v>
      </c>
      <c r="M15" s="10">
        <v>0.4995258403129695</v>
      </c>
      <c r="N15" s="10">
        <v>0.006698200467525005</v>
      </c>
      <c r="O15" s="10">
        <v>0</v>
      </c>
    </row>
    <row r="16" spans="1:16">
      <c r="A16" t="s">
        <v>69</v>
      </c>
      <c r="B16" s="5">
        <v>0.01874999999999999</v>
      </c>
      <c r="C16" s="5">
        <v>0.07657555224380119</v>
      </c>
      <c r="D16" s="5">
        <v>0.01717314990528762</v>
      </c>
      <c r="E16" s="5">
        <v>0.08403356373310089</v>
      </c>
      <c r="F16" s="5">
        <v>-0.1484401375055313</v>
      </c>
      <c r="G16" s="5">
        <v>-0.1720268875360489</v>
      </c>
      <c r="H16" s="7">
        <v>0.174939982025732</v>
      </c>
      <c r="I16" s="7">
        <v>-0.1651158752576404</v>
      </c>
      <c r="J16" s="7">
        <v>1.594733631727257</v>
      </c>
      <c r="K16" s="10">
        <v>0.000540216340321341</v>
      </c>
      <c r="L16" s="10">
        <v>0.000561062489828569</v>
      </c>
      <c r="M16" s="10">
        <v>0.2956960130171274</v>
      </c>
      <c r="N16" s="10">
        <v>0.009097103338893667</v>
      </c>
      <c r="O16" s="10">
        <v>0</v>
      </c>
    </row>
    <row r="17" spans="1:15">
      <c r="A17" t="s">
        <v>70</v>
      </c>
      <c r="B17" s="5">
        <v>0.03940095599728214</v>
      </c>
      <c r="C17" s="5">
        <v>0.06182013867939157</v>
      </c>
      <c r="D17" s="5">
        <v>0.01393884012620283</v>
      </c>
      <c r="E17" s="5">
        <v>0.03557068109512329</v>
      </c>
      <c r="F17" s="5">
        <v>-0.05736926198005676</v>
      </c>
      <c r="G17" s="5">
        <v>-0.06845256686210632</v>
      </c>
      <c r="H17" s="7">
        <v>0.1220757484054783</v>
      </c>
      <c r="I17" s="7">
        <v>0.05733150141359652</v>
      </c>
      <c r="J17" s="7">
        <v>0.06517074036905912</v>
      </c>
      <c r="K17" s="10">
        <v>0.0001019939007472597</v>
      </c>
      <c r="L17" s="10">
        <v>9.968136607715983E-05</v>
      </c>
      <c r="M17" s="10">
        <v>0.01895927221715805</v>
      </c>
      <c r="N17" s="10">
        <v>0.0001909808863885134</v>
      </c>
      <c r="O17" s="10">
        <v>0</v>
      </c>
    </row>
    <row r="18" spans="1:15">
      <c r="A18" t="s">
        <v>71</v>
      </c>
      <c r="B18" s="5">
        <v>0</v>
      </c>
      <c r="C18" s="5">
        <v>0.0506239746037332</v>
      </c>
      <c r="D18" s="5">
        <v>0.01146155116065728</v>
      </c>
      <c r="E18" s="5">
        <v>0.05803505331277847</v>
      </c>
      <c r="F18" s="5">
        <v>-0.102953128516674</v>
      </c>
      <c r="G18" s="5">
        <v>-0.1180450469255447</v>
      </c>
      <c r="H18" s="7">
        <v>-0.2814635546480883</v>
      </c>
      <c r="I18" s="7">
        <v>-0.2314774648704353</v>
      </c>
      <c r="J18" s="7">
        <v>0.2580718044478616</v>
      </c>
      <c r="K18" s="10">
        <v>0.0002661301700847225</v>
      </c>
      <c r="L18" s="10">
        <v>0.0003945202591429855</v>
      </c>
      <c r="M18" s="10">
        <v>0.02625631012789039</v>
      </c>
      <c r="N18" s="10">
        <v>0.001499139142894703</v>
      </c>
      <c r="O18" s="10">
        <v>0</v>
      </c>
    </row>
    <row r="19" spans="1:15">
      <c r="A19" t="s">
        <v>72</v>
      </c>
      <c r="B19" s="5">
        <v>0.2243663180833658</v>
      </c>
      <c r="C19" s="5">
        <v>0.07150279296831816</v>
      </c>
      <c r="D19" s="5">
        <v>0.01606509552827151</v>
      </c>
      <c r="E19" s="5">
        <v>0.02696734480559826</v>
      </c>
      <c r="F19" s="5">
        <v>-0.04552736133337021</v>
      </c>
      <c r="G19" s="5">
        <v>-0.0579112321138382</v>
      </c>
      <c r="H19" s="7">
        <v>0.2422838248659579</v>
      </c>
      <c r="I19" s="7">
        <v>0.2422838248659579</v>
      </c>
      <c r="J19" s="7">
        <v>1.594733631727257</v>
      </c>
      <c r="K19" s="10">
        <v>6.453544755590681E-05</v>
      </c>
      <c r="L19" s="10">
        <v>3.87000351772571E-05</v>
      </c>
      <c r="M19" s="10">
        <v>0.286039088138279</v>
      </c>
      <c r="N19" s="10">
        <v>0.001918301910882268</v>
      </c>
      <c r="O19" s="10">
        <v>-0.7256595933849821</v>
      </c>
    </row>
    <row r="20" spans="1:15">
      <c r="A20" t="s">
        <v>73</v>
      </c>
      <c r="B20" s="5">
        <v>2.525426526883957E-17</v>
      </c>
      <c r="C20" s="5">
        <v>0.09339357997108695</v>
      </c>
      <c r="D20" s="5">
        <v>0.0208182544713249</v>
      </c>
      <c r="E20" s="5">
        <v>0.073089599609375</v>
      </c>
      <c r="F20" s="5">
        <v>-0.1543620377779007</v>
      </c>
      <c r="G20" s="5">
        <v>-0.1832037419080734</v>
      </c>
      <c r="H20" s="7">
        <v>1.011227229306172</v>
      </c>
      <c r="I20" s="7">
        <v>0.9950425632674053</v>
      </c>
      <c r="J20" s="7">
        <v>3.670717580337683</v>
      </c>
      <c r="K20" s="10">
        <v>0.0003498223983290392</v>
      </c>
      <c r="L20" s="10">
        <v>0.0005083181478530528</v>
      </c>
      <c r="M20" s="10">
        <v>0.1487844186506875</v>
      </c>
      <c r="N20" s="10">
        <v>0.006857409331382518</v>
      </c>
      <c r="O20" s="10">
        <v>-0.6663717615776551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/>
  </sheetViews>
  <sheetFormatPr defaultRowHeight="15"/>
  <cols>
    <col min="1" max="1" width="30.7109375" customWidth="1"/>
    <col min="2" max="2" width="12.7109375" customWidth="1"/>
    <col min="3" max="3" width="14.7109375" customWidth="1"/>
    <col min="4" max="4" width="16.7109375" customWidth="1"/>
    <col min="5" max="5" width="10.7109375" customWidth="1"/>
    <col min="6" max="6" width="12.7109375" customWidth="1"/>
    <col min="7" max="7" width="10.7109375" customWidth="1"/>
  </cols>
  <sheetData>
    <row r="1" spans="1:7">
      <c r="A1" s="1" t="s">
        <v>88</v>
      </c>
    </row>
    <row r="2" spans="1:7">
      <c r="A2" s="2" t="s">
        <v>1</v>
      </c>
    </row>
    <row r="4" spans="1:7" ht="30" customHeight="1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48</v>
      </c>
    </row>
    <row r="5" spans="1:7">
      <c r="A5" t="s">
        <v>56</v>
      </c>
      <c r="B5" s="5">
        <v>0.1388</v>
      </c>
      <c r="C5" t="s">
        <v>95</v>
      </c>
      <c r="D5" t="s">
        <v>96</v>
      </c>
      <c r="E5">
        <v>12</v>
      </c>
      <c r="F5" t="s">
        <v>97</v>
      </c>
    </row>
    <row r="6" spans="1:7">
      <c r="A6" t="s">
        <v>65</v>
      </c>
      <c r="B6" s="5">
        <v>0.1366</v>
      </c>
      <c r="C6" t="s">
        <v>98</v>
      </c>
      <c r="D6" t="s">
        <v>99</v>
      </c>
      <c r="E6">
        <v>12</v>
      </c>
      <c r="F6" t="s">
        <v>97</v>
      </c>
    </row>
    <row r="7" spans="1:7">
      <c r="A7" t="s">
        <v>58</v>
      </c>
      <c r="B7" s="5">
        <v>0.0965</v>
      </c>
      <c r="C7" t="s">
        <v>100</v>
      </c>
      <c r="D7" t="s">
        <v>101</v>
      </c>
      <c r="E7">
        <v>12</v>
      </c>
      <c r="F7" t="s">
        <v>97</v>
      </c>
    </row>
    <row r="8" spans="1:7">
      <c r="A8" t="s">
        <v>61</v>
      </c>
      <c r="B8" s="5">
        <v>0.0863</v>
      </c>
      <c r="F8" t="s">
        <v>97</v>
      </c>
    </row>
    <row r="9" spans="1:7">
      <c r="A9" t="s">
        <v>59</v>
      </c>
      <c r="B9" s="5">
        <v>0.0977</v>
      </c>
      <c r="C9" t="s">
        <v>102</v>
      </c>
      <c r="D9" t="s">
        <v>103</v>
      </c>
      <c r="E9">
        <v>12</v>
      </c>
      <c r="F9" t="s">
        <v>97</v>
      </c>
    </row>
    <row r="10" spans="1:7">
      <c r="A10" t="s">
        <v>64</v>
      </c>
      <c r="B10" s="5">
        <v>0.09179999999999999</v>
      </c>
      <c r="F10" t="s">
        <v>97</v>
      </c>
    </row>
    <row r="11" spans="1:7">
      <c r="A11" t="s">
        <v>66</v>
      </c>
      <c r="B11" s="5">
        <v>0.38</v>
      </c>
      <c r="F11" t="s">
        <v>97</v>
      </c>
    </row>
    <row r="12" spans="1:7">
      <c r="A12" t="s">
        <v>60</v>
      </c>
      <c r="B12" s="5">
        <v>0.11</v>
      </c>
      <c r="C12" t="s">
        <v>104</v>
      </c>
      <c r="D12" t="s">
        <v>105</v>
      </c>
      <c r="E12">
        <v>12</v>
      </c>
      <c r="F12" t="s">
        <v>97</v>
      </c>
    </row>
    <row r="13" spans="1:7">
      <c r="A13" t="s">
        <v>62</v>
      </c>
      <c r="B13" s="5">
        <v>0.11</v>
      </c>
      <c r="C13" t="s">
        <v>106</v>
      </c>
      <c r="D13" t="s">
        <v>103</v>
      </c>
      <c r="E13">
        <v>12</v>
      </c>
      <c r="F13" t="s">
        <v>97</v>
      </c>
    </row>
    <row r="14" spans="1:7">
      <c r="A14" t="s">
        <v>63</v>
      </c>
      <c r="B14" s="5">
        <v>0.1</v>
      </c>
      <c r="C14" t="s">
        <v>107</v>
      </c>
      <c r="D14" t="s">
        <v>108</v>
      </c>
      <c r="E14">
        <v>12</v>
      </c>
      <c r="F14" t="s">
        <v>97</v>
      </c>
    </row>
    <row r="15" spans="1:7">
      <c r="A15" t="s">
        <v>68</v>
      </c>
      <c r="B15" s="5">
        <v>0.07000000000000001</v>
      </c>
      <c r="F15" t="s">
        <v>109</v>
      </c>
    </row>
    <row r="16" spans="1:7">
      <c r="A16" t="s">
        <v>69</v>
      </c>
      <c r="B16" s="5">
        <v>0.08</v>
      </c>
      <c r="F16" t="s">
        <v>109</v>
      </c>
    </row>
    <row r="17" spans="1:6">
      <c r="A17" t="s">
        <v>70</v>
      </c>
      <c r="B17" s="5">
        <v>0.06</v>
      </c>
      <c r="F17" t="s">
        <v>109</v>
      </c>
    </row>
    <row r="18" spans="1:6">
      <c r="A18" t="s">
        <v>71</v>
      </c>
      <c r="B18" s="5">
        <v>0.05</v>
      </c>
      <c r="C18" t="s">
        <v>110</v>
      </c>
      <c r="D18" t="s">
        <v>111</v>
      </c>
      <c r="E18">
        <v>12</v>
      </c>
      <c r="F18" t="s">
        <v>109</v>
      </c>
    </row>
    <row r="19" spans="1:6">
      <c r="A19" t="s">
        <v>72</v>
      </c>
      <c r="B19" s="5">
        <v>0.07000000000000001</v>
      </c>
      <c r="F19" t="s">
        <v>109</v>
      </c>
    </row>
    <row r="20" spans="1:6">
      <c r="A20" t="s">
        <v>73</v>
      </c>
      <c r="B20" s="5">
        <v>0.0863</v>
      </c>
      <c r="C20" t="s">
        <v>112</v>
      </c>
      <c r="D20" t="s">
        <v>113</v>
      </c>
      <c r="E20">
        <v>12</v>
      </c>
      <c r="F20" t="s">
        <v>109</v>
      </c>
    </row>
    <row r="22" spans="1:6">
      <c r="A22" s="4" t="s">
        <v>114</v>
      </c>
    </row>
    <row r="23" spans="1:6">
      <c r="A23" s="4" t="s">
        <v>15</v>
      </c>
      <c r="B23" t="s">
        <v>115</v>
      </c>
    </row>
    <row r="24" spans="1:6">
      <c r="A24" s="4" t="s">
        <v>116</v>
      </c>
      <c r="B24" t="s">
        <v>117</v>
      </c>
    </row>
    <row r="25" spans="1:6">
      <c r="A25" s="4" t="s">
        <v>118</v>
      </c>
      <c r="B25" t="s">
        <v>117</v>
      </c>
    </row>
    <row r="26" spans="1:6">
      <c r="A26" s="4" t="s">
        <v>119</v>
      </c>
      <c r="B26" t="s">
        <v>117</v>
      </c>
    </row>
    <row r="27" spans="1:6">
      <c r="A27" s="4" t="s">
        <v>120</v>
      </c>
      <c r="B27" t="s">
        <v>117</v>
      </c>
    </row>
    <row r="28" spans="1:6">
      <c r="A28" s="4" t="s">
        <v>121</v>
      </c>
      <c r="B28" t="s">
        <v>117</v>
      </c>
    </row>
    <row r="29" spans="1:6">
      <c r="A29" s="4" t="s">
        <v>122</v>
      </c>
      <c r="B29" t="s">
        <v>117</v>
      </c>
    </row>
    <row r="30" spans="1:6">
      <c r="A30" s="4" t="s">
        <v>123</v>
      </c>
      <c r="B30" t="s">
        <v>117</v>
      </c>
    </row>
    <row r="31" spans="1:6">
      <c r="A31" s="4" t="s">
        <v>124</v>
      </c>
      <c r="B31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6.7109375" customWidth="1"/>
    <col min="2" max="2" width="60.7109375" customWidth="1"/>
  </cols>
  <sheetData>
    <row r="1" spans="1:2">
      <c r="A1" s="1" t="s">
        <v>125</v>
      </c>
    </row>
    <row r="2" spans="1:2">
      <c r="A2" s="2" t="s">
        <v>1</v>
      </c>
    </row>
    <row r="4" spans="1:2" ht="30" customHeight="1">
      <c r="A4" s="3" t="s">
        <v>126</v>
      </c>
      <c r="B4" s="3" t="s">
        <v>127</v>
      </c>
    </row>
    <row r="5" spans="1:2">
      <c r="A5" s="4" t="s">
        <v>128</v>
      </c>
      <c r="B5" t="s">
        <v>129</v>
      </c>
    </row>
    <row r="6" spans="1:2">
      <c r="A6" s="4" t="s">
        <v>15</v>
      </c>
      <c r="B6" t="s">
        <v>130</v>
      </c>
    </row>
    <row r="7" spans="1:2">
      <c r="A7" s="4" t="s">
        <v>131</v>
      </c>
      <c r="B7" t="s">
        <v>132</v>
      </c>
    </row>
    <row r="8" spans="1:2">
      <c r="A8" s="4" t="s">
        <v>133</v>
      </c>
      <c r="B8" t="s">
        <v>134</v>
      </c>
    </row>
    <row r="9" spans="1:2">
      <c r="A9" s="4" t="s">
        <v>135</v>
      </c>
      <c r="B9" t="s">
        <v>134</v>
      </c>
    </row>
    <row r="10" spans="1:2">
      <c r="A10" s="4" t="s">
        <v>136</v>
      </c>
      <c r="B10" t="s">
        <v>137</v>
      </c>
    </row>
    <row r="11" spans="1:2">
      <c r="A11" s="4" t="s">
        <v>138</v>
      </c>
      <c r="B11">
        <v>254.5</v>
      </c>
    </row>
    <row r="12" spans="1:2">
      <c r="A12" s="4" t="s">
        <v>139</v>
      </c>
      <c r="B12">
        <v>2000000</v>
      </c>
    </row>
    <row r="13" spans="1:2">
      <c r="A13" s="4" t="s">
        <v>140</v>
      </c>
      <c r="B13">
        <v>1800000</v>
      </c>
    </row>
    <row r="14" spans="1:2">
      <c r="A14" s="4" t="s">
        <v>141</v>
      </c>
      <c r="B14">
        <v>1000000</v>
      </c>
    </row>
    <row r="15" spans="1:2">
      <c r="A15" s="4" t="s">
        <v>142</v>
      </c>
      <c r="B15">
        <v>8</v>
      </c>
    </row>
    <row r="16" spans="1:2">
      <c r="A16" s="4" t="s">
        <v>143</v>
      </c>
      <c r="B16">
        <v>20261029</v>
      </c>
    </row>
    <row r="17" spans="1:2">
      <c r="A17" s="4" t="s">
        <v>144</v>
      </c>
      <c r="B17" t="s">
        <v>145</v>
      </c>
    </row>
    <row r="18" spans="1:2">
      <c r="A18" s="4" t="s">
        <v>146</v>
      </c>
      <c r="B18" t="s">
        <v>147</v>
      </c>
    </row>
    <row r="19" spans="1:2">
      <c r="A19" s="4" t="s">
        <v>148</v>
      </c>
      <c r="B19">
        <v>0.01132067024791827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Tree</vt:lpstr>
      <vt:lpstr>Builder</vt:lpstr>
      <vt:lpstr>Assets</vt:lpstr>
      <vt:lpstr>Inputs</vt:lpstr>
      <vt:lpstr>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2026-10-29T17:45:22Z</dcterms:created>
  <dcterms:modified xsi:type="dcterms:W3CDTF">2026-10-29T17:45:22Z</dcterms:modified>
</cp:coreProperties>
</file>